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35" windowHeight="12840" tabRatio="590"/>
  </bookViews>
  <sheets>
    <sheet name="钢鹏达金属制品" sheetId="1" r:id="rId1"/>
    <sheet name="鑫茂不锈钢定制" sheetId="2" r:id="rId2"/>
    <sheet name="堡亨达智能极简家居" sheetId="3" r:id="rId3"/>
  </sheets>
  <definedNames>
    <definedName name="_xlnm.Print_Area" localSheetId="2">堡亨达智能极简家居!$A$1:$L$16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<sst xmlns="http://schemas.openxmlformats.org/spreadsheetml/2006/main" count="92" uniqueCount="67">
  <si>
    <r>
      <rPr>
        <sz val="12"/>
        <color theme="1"/>
        <rFont val="宋体"/>
        <charset val="134"/>
        <scheme val="minor"/>
      </rPr>
      <t>钢鹏达金属制品</t>
    </r>
    <r>
      <rPr>
        <sz val="12"/>
        <color theme="1"/>
        <rFont val="Segoe UI Symbol"/>
        <charset val="134"/>
      </rPr>
      <t>▶</t>
    </r>
    <r>
      <rPr>
        <sz val="12"/>
        <color theme="1"/>
        <rFont val="宋体"/>
        <charset val="134"/>
        <scheme val="minor"/>
      </rPr>
      <t>购销清单</t>
    </r>
  </si>
  <si>
    <t>序号</t>
  </si>
  <si>
    <t>品名/型号</t>
  </si>
  <si>
    <t>图片示意</t>
  </si>
  <si>
    <t>尺寸规格</t>
  </si>
  <si>
    <t>工艺</t>
  </si>
  <si>
    <t>数量</t>
  </si>
  <si>
    <t>总平方米（㎡）</t>
  </si>
  <si>
    <t>单价（元）</t>
  </si>
  <si>
    <t>金额</t>
  </si>
  <si>
    <t>备注</t>
  </si>
  <si>
    <t>不锈钢书柜</t>
  </si>
  <si>
    <t>3000*2480*360</t>
  </si>
  <si>
    <t xml:space="preserve">不锈钢#304
拉丝处理
颜色待定
激光折弯
卡扣工艺
</t>
  </si>
  <si>
    <t>有颜色板制作
材料1.2mm足厚
不刨坑折弯
贴7C激光膜
整柜无焊点</t>
  </si>
  <si>
    <t xml:space="preserve">不锈钢#304
拉丝处理
颜色待定
激光焊接
卡扣工艺
</t>
  </si>
  <si>
    <t>无颜色板制作
材料5.0mm足厚
板厚手工倒角
整体做色
整柜无焊点</t>
  </si>
  <si>
    <t>总价（大写）：</t>
  </si>
  <si>
    <t>总价：</t>
  </si>
  <si>
    <t>生产工期：</t>
  </si>
  <si>
    <t>18-22天</t>
  </si>
  <si>
    <t>报价有效期：</t>
  </si>
  <si>
    <t>5天</t>
  </si>
  <si>
    <t>费用说明：</t>
  </si>
  <si>
    <t>以上报价不含税费、安装、运费</t>
  </si>
  <si>
    <t>收款码：</t>
  </si>
  <si>
    <t>备注：</t>
  </si>
  <si>
    <t>1.地址：</t>
  </si>
  <si>
    <t>2.货运方式：物流</t>
  </si>
  <si>
    <r>
      <rPr>
        <b/>
        <sz val="9"/>
        <color theme="5" tint="-0.249977111117893"/>
        <rFont val="宋体"/>
        <charset val="134"/>
      </rPr>
      <t>3.付款方式：确认</t>
    </r>
    <r>
      <rPr>
        <sz val="9"/>
        <color theme="1"/>
        <rFont val="宋体"/>
        <charset val="134"/>
      </rPr>
      <t>下单时，应预付（定金50%），余款须在产品生产完毕，业务员发图片确认，发货前一次性付清尾款后，我们这边安排物流发货。</t>
    </r>
  </si>
  <si>
    <t>供货单位：佛山市钢鹏达金属制品有限公司</t>
  </si>
  <si>
    <t>购货单位：</t>
  </si>
  <si>
    <t>公司地址：佛山市禅城区石湾街道跃进路43号</t>
  </si>
  <si>
    <t>联系地址：</t>
  </si>
  <si>
    <t>联系电话：18033241801</t>
  </si>
  <si>
    <t>联系电话：</t>
  </si>
  <si>
    <t>制表人：黄生</t>
  </si>
  <si>
    <t>联系人：</t>
  </si>
  <si>
    <t>304# 5.0层板架 正面厚度倒圆角，电镀深灰色 
2.8*2.48*1920=13332元
此价格不含税运木箱！
整体做好发货或拆装都可以，看客户需求</t>
  </si>
  <si>
    <r>
      <rPr>
        <sz val="3"/>
        <rFont val="Arial"/>
        <charset val="134"/>
      </rPr>
      <t xml:space="preserve">
</t>
    </r>
    <r>
      <rPr>
        <b/>
        <sz val="17"/>
        <rFont val="SimSun"/>
        <charset val="134"/>
      </rPr>
      <t>堡亨达智能极简家居</t>
    </r>
    <r>
      <rPr>
        <sz val="17"/>
        <rFont val="SimSun"/>
        <charset val="134"/>
      </rPr>
      <t xml:space="preserve">              客户单号：</t>
    </r>
  </si>
  <si>
    <t>客户名称</t>
  </si>
  <si>
    <t>直泰</t>
  </si>
  <si>
    <t>联系电话</t>
  </si>
  <si>
    <t>日期：2026.6.2</t>
  </si>
  <si>
    <t>产品名称</t>
  </si>
  <si>
    <t>5mm实心铝板柜</t>
  </si>
  <si>
    <t>尺寸</t>
  </si>
  <si>
    <t>名称</t>
  </si>
  <si>
    <t>柜身颜色</t>
  </si>
  <si>
    <t>玻璃颜色</t>
  </si>
  <si>
    <t>高(mm)</t>
  </si>
  <si>
    <t>宽(mm)</t>
  </si>
  <si>
    <t>深(mm)</t>
  </si>
  <si>
    <t>面积(平方)</t>
  </si>
  <si>
    <t>单价</t>
  </si>
  <si>
    <t>5mm实心铝板柜
（无灯光）</t>
  </si>
  <si>
    <t>后喷漆颜色</t>
  </si>
  <si>
    <t>/</t>
  </si>
  <si>
    <t>按展开面积计算</t>
  </si>
  <si>
    <t>立板</t>
  </si>
  <si>
    <t>顶板</t>
  </si>
  <si>
    <t>层板</t>
  </si>
  <si>
    <t>分段折边</t>
  </si>
  <si>
    <t>木架</t>
  </si>
  <si>
    <t>小计：</t>
  </si>
  <si>
    <t>成品出货</t>
  </si>
  <si>
    <r>
      <rPr>
        <sz val="9"/>
        <rFont val="SimSun"/>
        <charset val="134"/>
      </rPr>
      <t xml:space="preserve">                                   农业银行卡号：6228481465257981914王少敏
                                   工商银行卡号：6212262013013492054王少敏
                                   建设银行卡号：6217003110013347107王少敏
</t>
    </r>
    <r>
      <rPr>
        <b/>
        <sz val="9"/>
        <rFont val="SimSun"/>
        <charset val="134"/>
      </rPr>
      <t>物流：</t>
    </r>
    <r>
      <rPr>
        <sz val="9"/>
        <rFont val="SimSun"/>
        <charset val="134"/>
      </rPr>
      <t xml:space="preserve">                                                                         </t>
    </r>
    <r>
      <rPr>
        <b/>
        <sz val="9"/>
        <rFont val="SimSun"/>
        <charset val="134"/>
      </rPr>
      <t xml:space="preserve">地址： 
</t>
    </r>
    <r>
      <rPr>
        <sz val="9"/>
        <rFont val="SimSun"/>
        <charset val="134"/>
      </rPr>
      <t>温馨提示： 1.请认真核对各项内容，确认无误后，不足3000元下单请付全款，3000元以上请预付50%定金，以免影响交货期!
          2.收货时请你仔细检查包装有无破损，物品有无变形，若有异常请与托运公司联系。
          3.若产品与清单不符，请在收到货后3日内与我公司联系，逾期概不负责。
          4.收货时请仔细检查材料是否被水淋湿，若淋湿请及时晾干，由此造成的损失本公司不承担责任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</si>
</sst>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\¥#,##0;\¥\-#,##0"/>
    <numFmt numFmtId="179" formatCode="0.00_ "/>
    <numFmt numFmtId="180" formatCode="[DBNum2][$RMB]General;[Red][DBNum2][$RMB]General"/>
  </numFmts>
  <fonts count="53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rgb="FFFF0000"/>
      <name val="Arial"/>
      <charset val="134"/>
    </font>
    <font>
      <sz val="3"/>
      <name val="Arial"/>
      <charset val="134"/>
    </font>
    <font>
      <sz val="9"/>
      <name val="SimSun"/>
      <charset val="134"/>
    </font>
    <font>
      <b/>
      <sz val="9"/>
      <name val="SimSun"/>
      <charset val="134"/>
    </font>
    <font>
      <sz val="11"/>
      <name val="宋体"/>
      <charset val="134"/>
    </font>
    <font>
      <sz val="9"/>
      <color rgb="FFFF0000"/>
      <name val="SimSun"/>
      <charset val="134"/>
    </font>
    <font>
      <sz val="11"/>
      <color rgb="FFFF0000"/>
      <name val="宋体"/>
      <charset val="134"/>
    </font>
    <font>
      <b/>
      <sz val="12"/>
      <name val="SimSun"/>
      <charset val="134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9"/>
      <color theme="2" tint="-0.899899288918729"/>
      <name val="宋体"/>
      <charset val="134"/>
    </font>
    <font>
      <b/>
      <sz val="9"/>
      <color rgb="FF000000"/>
      <name val="宋体"/>
      <charset val="134"/>
    </font>
    <font>
      <b/>
      <sz val="9"/>
      <color theme="2" tint="-0.899899288918729"/>
      <name val="宋体"/>
      <charset val="134"/>
      <scheme val="minor"/>
    </font>
    <font>
      <sz val="9"/>
      <color theme="2" tint="-0.899899288918729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rgb="FF000000"/>
      <name val="宋体"/>
      <charset val="134"/>
      <scheme val="minor"/>
    </font>
    <font>
      <sz val="8"/>
      <color theme="1"/>
      <name val="宋体"/>
      <charset val="134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5" tint="-0.24997711111789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Arial"/>
      <charset val="134"/>
    </font>
    <font>
      <b/>
      <sz val="17"/>
      <name val="SimSun"/>
      <charset val="134"/>
    </font>
    <font>
      <sz val="17"/>
      <name val="SimSun"/>
      <charset val="134"/>
    </font>
    <font>
      <sz val="12"/>
      <color theme="1"/>
      <name val="Segoe UI Symbol"/>
      <charset val="134"/>
    </font>
    <font>
      <b/>
      <sz val="9"/>
      <color theme="5" tint="-0.249977111117893"/>
      <name val="宋体"/>
      <charset val="134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A99179"/>
        <bgColor rgb="FF0000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6" borderId="21" applyNumberFormat="0" applyAlignment="0" applyProtection="0">
      <alignment vertical="center"/>
    </xf>
    <xf numFmtId="0" fontId="37" fillId="7" borderId="22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9" fillId="8" borderId="23" applyNumberFormat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0" borderId="25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7" fillId="0" borderId="0"/>
  </cellStyleXfs>
  <cellXfs count="74">
    <xf numFmtId="0" fontId="0" fillId="0" borderId="0" xfId="0">
      <alignment vertical="center"/>
    </xf>
    <xf numFmtId="0" fontId="1" fillId="0" borderId="0" xfId="49" applyFont="1" applyAlignment="1">
      <alignment horizontal="left" vertical="top" wrapText="1"/>
    </xf>
    <xf numFmtId="0" fontId="2" fillId="0" borderId="0" xfId="49" applyFont="1" applyAlignment="1">
      <alignment horizontal="left" vertical="top" wrapText="1"/>
    </xf>
    <xf numFmtId="0" fontId="1" fillId="0" borderId="1" xfId="49" applyFont="1" applyBorder="1" applyAlignment="1">
      <alignment horizontal="left" vertical="top" wrapText="1"/>
    </xf>
    <xf numFmtId="0" fontId="3" fillId="0" borderId="1" xfId="49" applyFont="1" applyBorder="1" applyAlignment="1">
      <alignment horizontal="left" vertical="top" wrapText="1" indent="14"/>
    </xf>
    <xf numFmtId="0" fontId="4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right" vertical="center" wrapText="1" indent="2"/>
    </xf>
    <xf numFmtId="0" fontId="4" fillId="0" borderId="1" xfId="49" applyFont="1" applyBorder="1" applyAlignment="1">
      <alignment horizontal="right" vertical="center" wrapText="1"/>
    </xf>
    <xf numFmtId="176" fontId="4" fillId="0" borderId="1" xfId="49" applyNumberFormat="1" applyFont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 wrapText="1"/>
    </xf>
    <xf numFmtId="177" fontId="4" fillId="0" borderId="1" xfId="49" applyNumberFormat="1" applyFont="1" applyBorder="1" applyAlignment="1">
      <alignment horizontal="center" vertical="center" wrapText="1"/>
    </xf>
    <xf numFmtId="178" fontId="4" fillId="0" borderId="1" xfId="49" applyNumberFormat="1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178" fontId="7" fillId="0" borderId="1" xfId="49" applyNumberFormat="1" applyFont="1" applyBorder="1" applyAlignment="1">
      <alignment horizontal="center" vertical="center" wrapText="1"/>
    </xf>
    <xf numFmtId="0" fontId="8" fillId="0" borderId="1" xfId="49" applyFont="1" applyBorder="1" applyAlignment="1">
      <alignment horizontal="center" vertical="center" wrapText="1"/>
    </xf>
    <xf numFmtId="0" fontId="9" fillId="0" borderId="1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left" vertical="top" wrapText="1"/>
    </xf>
    <xf numFmtId="0" fontId="6" fillId="0" borderId="4" xfId="49" applyFont="1" applyBorder="1" applyAlignment="1">
      <alignment horizontal="center" vertical="top" wrapText="1"/>
    </xf>
    <xf numFmtId="0" fontId="6" fillId="0" borderId="5" xfId="49" applyFont="1" applyBorder="1" applyAlignment="1">
      <alignment horizontal="center" vertical="top" wrapText="1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2" borderId="0" xfId="0" applyFont="1" applyFill="1">
      <alignment vertical="center"/>
    </xf>
    <xf numFmtId="179" fontId="12" fillId="0" borderId="0" xfId="0" applyNumberFormat="1" applyFont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79" fontId="15" fillId="0" borderId="6" xfId="0" applyNumberFormat="1" applyFont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79" fontId="17" fillId="3" borderId="6" xfId="0" applyNumberFormat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179" fontId="20" fillId="2" borderId="6" xfId="0" applyNumberFormat="1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180" fontId="20" fillId="0" borderId="9" xfId="0" applyNumberFormat="1" applyFont="1" applyBorder="1" applyAlignment="1">
      <alignment horizontal="center" vertical="center" wrapText="1"/>
    </xf>
    <xf numFmtId="180" fontId="20" fillId="0" borderId="10" xfId="0" applyNumberFormat="1" applyFont="1" applyBorder="1" applyAlignment="1">
      <alignment horizontal="center" vertical="center" wrapText="1"/>
    </xf>
    <xf numFmtId="180" fontId="20" fillId="0" borderId="11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179" fontId="23" fillId="0" borderId="9" xfId="0" applyNumberFormat="1" applyFont="1" applyBorder="1" applyAlignment="1">
      <alignment horizontal="center" vertical="center" wrapText="1"/>
    </xf>
    <xf numFmtId="179" fontId="23" fillId="0" borderId="11" xfId="0" applyNumberFormat="1" applyFont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9" fontId="25" fillId="0" borderId="12" xfId="0" applyNumberFormat="1" applyFont="1" applyBorder="1" applyAlignment="1">
      <alignment horizontal="left" vertical="center" wrapText="1"/>
    </xf>
    <xf numFmtId="9" fontId="25" fillId="0" borderId="13" xfId="0" applyNumberFormat="1" applyFont="1" applyBorder="1" applyAlignment="1">
      <alignment horizontal="left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left" vertical="center" wrapText="1"/>
    </xf>
    <xf numFmtId="9" fontId="25" fillId="0" borderId="0" xfId="0" applyNumberFormat="1" applyFont="1" applyAlignment="1">
      <alignment horizontal="left" vertical="center" wrapText="1"/>
    </xf>
    <xf numFmtId="9" fontId="25" fillId="0" borderId="15" xfId="0" applyNumberFormat="1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9" fontId="25" fillId="0" borderId="17" xfId="0" applyNumberFormat="1" applyFont="1" applyBorder="1" applyAlignment="1">
      <alignment horizontal="left" vertical="center" wrapText="1"/>
    </xf>
    <xf numFmtId="9" fontId="25" fillId="0" borderId="8" xfId="0" applyNumberFormat="1" applyFont="1" applyBorder="1" applyAlignment="1">
      <alignment horizontal="left" vertical="center" wrapText="1"/>
    </xf>
    <xf numFmtId="0" fontId="26" fillId="4" borderId="7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79" fontId="20" fillId="0" borderId="6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79" fontId="2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453390</xdr:colOff>
      <xdr:row>0</xdr:row>
      <xdr:rowOff>20320</xdr:rowOff>
    </xdr:from>
    <xdr:to>
      <xdr:col>4</xdr:col>
      <xdr:colOff>453390</xdr:colOff>
      <xdr:row>0</xdr:row>
      <xdr:rowOff>20320</xdr:rowOff>
    </xdr:to>
    <xdr:cxnSp>
      <xdr:nvCxnSpPr>
        <xdr:cNvPr id="7" name="直接连接符 6"/>
        <xdr:cNvCxnSpPr/>
      </xdr:nvCxnSpPr>
      <xdr:spPr>
        <a:xfrm>
          <a:off x="3453765" y="20320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518160</xdr:colOff>
      <xdr:row>6</xdr:row>
      <xdr:rowOff>70485</xdr:rowOff>
    </xdr:from>
    <xdr:to>
      <xdr:col>9</xdr:col>
      <xdr:colOff>604520</xdr:colOff>
      <xdr:row>8</xdr:row>
      <xdr:rowOff>196850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8435" y="3709035"/>
          <a:ext cx="895985" cy="812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29845</xdr:colOff>
      <xdr:row>2</xdr:row>
      <xdr:rowOff>37465</xdr:rowOff>
    </xdr:from>
    <xdr:to>
      <xdr:col>2</xdr:col>
      <xdr:colOff>857885</xdr:colOff>
      <xdr:row>2</xdr:row>
      <xdr:rowOff>1007745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895" y="864235"/>
          <a:ext cx="828040" cy="970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29845</xdr:colOff>
      <xdr:row>3</xdr:row>
      <xdr:rowOff>37465</xdr:rowOff>
    </xdr:from>
    <xdr:to>
      <xdr:col>2</xdr:col>
      <xdr:colOff>857885</xdr:colOff>
      <xdr:row>3</xdr:row>
      <xdr:rowOff>1007745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1895" y="1919605"/>
          <a:ext cx="828040" cy="970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zoomScale="190" zoomScaleNormal="190" workbookViewId="0">
      <selection activeCell="A1" sqref="A1:J1"/>
    </sheetView>
  </sheetViews>
  <sheetFormatPr defaultColWidth="9" defaultRowHeight="13.5"/>
  <cols>
    <col min="1" max="1" width="4.125" customWidth="1"/>
    <col min="2" max="2" width="11.125" customWidth="1"/>
    <col min="3" max="3" width="11.625" customWidth="1"/>
    <col min="4" max="4" width="12.5" customWidth="1"/>
    <col min="5" max="5" width="16.125" customWidth="1"/>
    <col min="6" max="6" width="7.125" customWidth="1"/>
    <col min="7" max="7" width="8.375" customWidth="1"/>
    <col min="8" max="8" width="7.875" customWidth="1"/>
    <col min="9" max="9" width="10.625" style="26" customWidth="1"/>
    <col min="10" max="10" width="12.25" customWidth="1"/>
  </cols>
  <sheetData>
    <row r="1" ht="29.1" customHeight="1" spans="1:10">
      <c r="A1" s="27" t="s">
        <v>0</v>
      </c>
      <c r="B1" s="28"/>
      <c r="C1" s="28"/>
      <c r="D1" s="28"/>
      <c r="E1" s="28"/>
      <c r="F1" s="28"/>
      <c r="G1" s="28"/>
      <c r="H1" s="28"/>
      <c r="I1" s="29"/>
      <c r="J1" s="28"/>
    </row>
    <row r="2" s="24" customFormat="1" ht="36" customHeight="1" spans="1:10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7</v>
      </c>
      <c r="H2" s="30" t="s">
        <v>8</v>
      </c>
      <c r="I2" s="31" t="s">
        <v>9</v>
      </c>
      <c r="J2" s="30" t="s">
        <v>10</v>
      </c>
    </row>
    <row r="3" s="25" customFormat="1" ht="83.1" customHeight="1" spans="1:10">
      <c r="A3" s="32">
        <v>1</v>
      </c>
      <c r="B3" s="33" t="s">
        <v>11</v>
      </c>
      <c r="C3" s="34"/>
      <c r="D3" s="32" t="s">
        <v>12</v>
      </c>
      <c r="E3" s="32" t="s">
        <v>13</v>
      </c>
      <c r="F3" s="32">
        <v>1</v>
      </c>
      <c r="G3" s="32">
        <f>3*2.48</f>
        <v>7.44</v>
      </c>
      <c r="H3" s="32">
        <v>2500</v>
      </c>
      <c r="I3" s="35">
        <f>H3*G3</f>
        <v>18600</v>
      </c>
      <c r="J3" s="32" t="s">
        <v>14</v>
      </c>
    </row>
    <row r="4" s="25" customFormat="1" ht="83.1" customHeight="1" spans="1:10">
      <c r="A4" s="32">
        <v>2</v>
      </c>
      <c r="B4" s="33" t="s">
        <v>11</v>
      </c>
      <c r="C4" s="34"/>
      <c r="D4" s="32" t="s">
        <v>12</v>
      </c>
      <c r="E4" s="32" t="s">
        <v>15</v>
      </c>
      <c r="F4" s="32">
        <v>1</v>
      </c>
      <c r="G4" s="32">
        <f>3*2.48</f>
        <v>7.44</v>
      </c>
      <c r="H4" s="32">
        <v>3200</v>
      </c>
      <c r="I4" s="35">
        <f>H4*G4</f>
        <v>23808</v>
      </c>
      <c r="J4" s="32" t="s">
        <v>16</v>
      </c>
    </row>
    <row r="5" ht="29.1" customHeight="1" spans="1:10">
      <c r="A5" s="36" t="s">
        <v>17</v>
      </c>
      <c r="B5" s="37"/>
      <c r="C5" s="38">
        <f>I5</f>
        <v>0</v>
      </c>
      <c r="D5" s="39"/>
      <c r="E5" s="39"/>
      <c r="F5" s="40"/>
      <c r="G5" s="41" t="s">
        <v>18</v>
      </c>
      <c r="H5" s="42"/>
      <c r="I5" s="35">
        <v>0</v>
      </c>
      <c r="J5" s="33"/>
    </row>
    <row r="6" ht="26.1" customHeight="1" spans="1:10">
      <c r="A6" s="43" t="s">
        <v>19</v>
      </c>
      <c r="B6" s="44"/>
      <c r="C6" s="45" t="s">
        <v>20</v>
      </c>
      <c r="D6" s="46"/>
      <c r="E6" s="47" t="s">
        <v>21</v>
      </c>
      <c r="F6" s="48"/>
      <c r="G6" s="48"/>
      <c r="H6" s="49" t="s">
        <v>22</v>
      </c>
      <c r="I6" s="50"/>
      <c r="J6" s="51"/>
    </row>
    <row r="7" ht="36" customHeight="1" spans="1:10">
      <c r="A7" s="52" t="s">
        <v>23</v>
      </c>
      <c r="B7" s="53"/>
      <c r="C7" s="54" t="s">
        <v>24</v>
      </c>
      <c r="D7" s="54"/>
      <c r="E7" s="54"/>
      <c r="F7" s="54"/>
      <c r="G7" s="54"/>
      <c r="H7" s="54"/>
      <c r="I7" s="55" t="s">
        <v>25</v>
      </c>
      <c r="J7" s="56"/>
    </row>
    <row r="8" ht="18" customHeight="1" spans="1:10">
      <c r="A8" s="57" t="s">
        <v>26</v>
      </c>
      <c r="B8" s="58"/>
      <c r="C8" s="59" t="s">
        <v>27</v>
      </c>
      <c r="D8" s="59"/>
      <c r="E8" s="59"/>
      <c r="F8" s="59"/>
      <c r="G8" s="59"/>
      <c r="H8" s="59"/>
      <c r="I8" s="60"/>
      <c r="J8" s="61"/>
    </row>
    <row r="9" ht="18" customHeight="1" spans="1:10">
      <c r="A9" s="57"/>
      <c r="B9" s="58"/>
      <c r="C9" s="62" t="s">
        <v>28</v>
      </c>
      <c r="D9" s="62"/>
      <c r="E9" s="62"/>
      <c r="F9" s="62"/>
      <c r="G9" s="62"/>
      <c r="H9" s="62"/>
      <c r="I9" s="63"/>
      <c r="J9" s="64"/>
    </row>
    <row r="10" ht="27" customHeight="1" spans="1:10">
      <c r="A10" s="65"/>
      <c r="B10" s="66"/>
      <c r="C10" s="62" t="s">
        <v>29</v>
      </c>
      <c r="D10" s="67"/>
      <c r="E10" s="67"/>
      <c r="F10" s="67"/>
      <c r="G10" s="67"/>
      <c r="H10" s="67"/>
      <c r="I10" s="68"/>
      <c r="J10" s="67"/>
    </row>
    <row r="11" ht="21" customHeight="1" spans="1:10">
      <c r="A11" s="69"/>
      <c r="B11" s="69"/>
      <c r="C11" s="70"/>
      <c r="D11" s="71"/>
      <c r="E11" s="71"/>
      <c r="F11" s="71"/>
      <c r="G11" s="71"/>
      <c r="H11" s="71"/>
      <c r="I11" s="72"/>
      <c r="J11" s="71"/>
    </row>
    <row r="12" spans="1:10">
      <c r="A12" s="73" t="s">
        <v>30</v>
      </c>
      <c r="B12" s="73"/>
      <c r="C12" s="73"/>
      <c r="D12" s="73"/>
      <c r="E12" s="73"/>
      <c r="F12" s="73" t="s">
        <v>31</v>
      </c>
      <c r="G12" s="73"/>
      <c r="H12" s="73"/>
      <c r="I12" s="73"/>
      <c r="J12" s="73"/>
    </row>
    <row r="13" spans="1:10">
      <c r="A13" s="73" t="s">
        <v>32</v>
      </c>
      <c r="B13" s="73"/>
      <c r="C13" s="73"/>
      <c r="D13" s="73"/>
      <c r="E13" s="73"/>
      <c r="F13" s="73" t="s">
        <v>33</v>
      </c>
      <c r="G13" s="73"/>
      <c r="H13" s="73"/>
      <c r="I13" s="73"/>
      <c r="J13" s="73"/>
    </row>
    <row r="14" spans="1:10">
      <c r="A14" s="73" t="s">
        <v>34</v>
      </c>
      <c r="B14" s="73"/>
      <c r="C14" s="73"/>
      <c r="D14" s="73"/>
      <c r="E14" s="73"/>
      <c r="F14" s="73" t="s">
        <v>35</v>
      </c>
      <c r="G14" s="73"/>
      <c r="H14" s="73"/>
      <c r="I14" s="73"/>
      <c r="J14" s="73"/>
    </row>
    <row r="15" spans="1:10">
      <c r="A15" s="73" t="s">
        <v>36</v>
      </c>
      <c r="B15" s="73"/>
      <c r="C15" s="73"/>
      <c r="D15" s="73"/>
      <c r="E15" s="73"/>
      <c r="F15" s="73" t="s">
        <v>37</v>
      </c>
      <c r="G15" s="73"/>
      <c r="H15" s="73"/>
      <c r="I15" s="73"/>
      <c r="J15" s="73"/>
    </row>
  </sheetData>
  <mergeCells count="23">
    <mergeCell ref="A1:J1"/>
    <mergeCell ref="A5:B5"/>
    <mergeCell ref="C5:F5"/>
    <mergeCell ref="G5:H5"/>
    <mergeCell ref="A6:B6"/>
    <mergeCell ref="C6:D6"/>
    <mergeCell ref="E6:G6"/>
    <mergeCell ref="H6:J6"/>
    <mergeCell ref="A7:B7"/>
    <mergeCell ref="C7:H7"/>
    <mergeCell ref="C8:H8"/>
    <mergeCell ref="C9:H9"/>
    <mergeCell ref="C10:J10"/>
    <mergeCell ref="A12:E12"/>
    <mergeCell ref="F12:J12"/>
    <mergeCell ref="A13:E13"/>
    <mergeCell ref="F13:J13"/>
    <mergeCell ref="A14:E14"/>
    <mergeCell ref="F14:J14"/>
    <mergeCell ref="A15:E15"/>
    <mergeCell ref="F15:J15"/>
    <mergeCell ref="I7:J9"/>
    <mergeCell ref="A8:B10"/>
  </mergeCells>
  <pageMargins left="0" right="0" top="0.310416666666667" bottom="0.310416666666667" header="0.389583333333333" footer="0.38958333333333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1" sqref="B21"/>
    </sheetView>
  </sheetViews>
  <sheetFormatPr defaultColWidth="9" defaultRowHeight="13.5"/>
  <cols>
    <col min="1" max="1" width="50" customWidth="1"/>
  </cols>
  <sheetData>
    <row r="1" ht="152.25" customHeight="1" spans="1:1">
      <c r="A1" s="23" t="s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6"/>
  <sheetViews>
    <sheetView zoomScale="130" zoomScaleNormal="130" workbookViewId="0">
      <selection activeCell="B15" sqref="B15:J15"/>
    </sheetView>
  </sheetViews>
  <sheetFormatPr defaultColWidth="9" defaultRowHeight="14.25"/>
  <cols>
    <col min="1" max="1" width="5.375" style="2" customWidth="1"/>
    <col min="2" max="2" width="22.125" style="2" customWidth="1"/>
    <col min="3" max="3" width="11.125" style="2" customWidth="1"/>
    <col min="4" max="4" width="7.875" style="2" customWidth="1"/>
    <col min="5" max="5" width="6.375" style="2" customWidth="1"/>
    <col min="6" max="6" width="6.875" style="2" customWidth="1"/>
    <col min="7" max="7" width="6.25" style="2" customWidth="1"/>
    <col min="8" max="8" width="6.5" style="2" customWidth="1"/>
    <col min="9" max="9" width="11.625" style="2" customWidth="1"/>
    <col min="10" max="10" width="6.375" style="2" customWidth="1"/>
    <col min="11" max="11" width="10.125" style="2" customWidth="1"/>
    <col min="12" max="12" width="17.875" style="2" customWidth="1"/>
    <col min="13" max="16384" width="9" style="2"/>
  </cols>
  <sheetData>
    <row r="1" s="1" customFormat="1" ht="27.75" customHeight="1" spans="1:12">
      <c r="A1" s="3"/>
      <c r="B1" s="4" t="s">
        <v>39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17.45" customHeight="1" spans="1:12">
      <c r="A2" s="3"/>
      <c r="B2" s="5" t="s">
        <v>40</v>
      </c>
      <c r="C2" s="6"/>
      <c r="D2" s="7" t="s">
        <v>41</v>
      </c>
      <c r="E2" s="6"/>
      <c r="F2" s="6"/>
      <c r="G2" s="5" t="s">
        <v>42</v>
      </c>
      <c r="H2" s="6"/>
      <c r="I2" s="6"/>
      <c r="J2" s="6"/>
      <c r="K2" s="6"/>
      <c r="L2" s="8" t="s">
        <v>43</v>
      </c>
    </row>
    <row r="3" s="1" customFormat="1" ht="17.45" customHeight="1" spans="1:12">
      <c r="A3" s="3"/>
      <c r="B3" s="5" t="s">
        <v>44</v>
      </c>
      <c r="C3" s="6"/>
      <c r="D3" s="5" t="s">
        <v>45</v>
      </c>
      <c r="E3" s="6"/>
      <c r="F3" s="6"/>
      <c r="G3" s="5" t="s">
        <v>46</v>
      </c>
      <c r="H3" s="6"/>
      <c r="I3" s="7"/>
      <c r="J3" s="6"/>
      <c r="K3" s="6"/>
      <c r="L3" s="3"/>
    </row>
    <row r="4" s="1" customFormat="1" ht="17.1" customHeight="1" spans="1:12">
      <c r="A4" s="5" t="s">
        <v>1</v>
      </c>
      <c r="B4" s="5" t="s">
        <v>47</v>
      </c>
      <c r="C4" s="5" t="s">
        <v>48</v>
      </c>
      <c r="D4" s="5" t="s">
        <v>49</v>
      </c>
      <c r="E4" s="5" t="s">
        <v>50</v>
      </c>
      <c r="F4" s="9" t="s">
        <v>51</v>
      </c>
      <c r="G4" s="5" t="s">
        <v>52</v>
      </c>
      <c r="H4" s="5" t="s">
        <v>6</v>
      </c>
      <c r="I4" s="5" t="s">
        <v>53</v>
      </c>
      <c r="J4" s="5" t="s">
        <v>54</v>
      </c>
      <c r="K4" s="5" t="s">
        <v>9</v>
      </c>
      <c r="L4" s="5" t="s">
        <v>10</v>
      </c>
    </row>
    <row r="5" s="1" customFormat="1" ht="17.45" customHeight="1" spans="1:12">
      <c r="A5" s="10">
        <v>1</v>
      </c>
      <c r="B5" s="5" t="s">
        <v>55</v>
      </c>
      <c r="C5" s="5" t="s">
        <v>56</v>
      </c>
      <c r="D5" s="5" t="s">
        <v>57</v>
      </c>
      <c r="E5" s="10"/>
      <c r="F5" s="10"/>
      <c r="G5" s="10"/>
      <c r="H5" s="10">
        <v>1</v>
      </c>
      <c r="I5" s="3"/>
      <c r="J5" s="3"/>
      <c r="K5" s="3"/>
      <c r="L5" s="11"/>
    </row>
    <row r="6" s="1" customFormat="1" ht="18.95" customHeight="1" spans="1:12">
      <c r="A6" s="10">
        <v>2</v>
      </c>
      <c r="B6" s="6"/>
      <c r="C6" s="6"/>
      <c r="D6" s="6"/>
      <c r="E6" s="5" t="s">
        <v>58</v>
      </c>
      <c r="F6" s="6"/>
      <c r="G6" s="6"/>
      <c r="H6" s="6"/>
      <c r="I6" s="3"/>
      <c r="J6" s="3"/>
      <c r="K6" s="3"/>
      <c r="L6" s="12"/>
    </row>
    <row r="7" s="1" customFormat="1" ht="18.6" customHeight="1" spans="1:12">
      <c r="A7" s="10">
        <v>3</v>
      </c>
      <c r="B7" s="5" t="s">
        <v>59</v>
      </c>
      <c r="C7" s="5" t="str">
        <f>C5</f>
        <v>后喷漆颜色</v>
      </c>
      <c r="D7" s="5" t="s">
        <v>57</v>
      </c>
      <c r="E7" s="10">
        <v>2480</v>
      </c>
      <c r="F7" s="10" t="s">
        <v>57</v>
      </c>
      <c r="G7" s="5">
        <v>360</v>
      </c>
      <c r="H7" s="10">
        <v>7</v>
      </c>
      <c r="I7" s="13">
        <f>G7*E7*0.000001</f>
        <v>0.8928</v>
      </c>
      <c r="J7" s="10">
        <v>1280</v>
      </c>
      <c r="K7" s="14">
        <f t="shared" ref="K7:K12" si="0">J7*I7*H7</f>
        <v>7999.488</v>
      </c>
      <c r="L7" s="12"/>
    </row>
    <row r="8" s="1" customFormat="1" ht="18.95" customHeight="1" spans="1:12">
      <c r="A8" s="10">
        <v>4</v>
      </c>
      <c r="B8" s="5" t="s">
        <v>60</v>
      </c>
      <c r="C8" s="5" t="str">
        <f>C5</f>
        <v>后喷漆颜色</v>
      </c>
      <c r="D8" s="5" t="s">
        <v>57</v>
      </c>
      <c r="E8" s="10" t="s">
        <v>57</v>
      </c>
      <c r="F8" s="10">
        <v>2800</v>
      </c>
      <c r="G8" s="5">
        <v>360</v>
      </c>
      <c r="H8" s="10">
        <v>1</v>
      </c>
      <c r="I8" s="13">
        <f>G8*F8*0.000001</f>
        <v>1.008</v>
      </c>
      <c r="J8" s="10">
        <f>J7</f>
        <v>1280</v>
      </c>
      <c r="K8" s="14">
        <f t="shared" si="0"/>
        <v>1290.24</v>
      </c>
      <c r="L8" s="12"/>
    </row>
    <row r="9" s="1" customFormat="1" ht="18.95" customHeight="1" spans="1:12">
      <c r="A9" s="10">
        <v>5</v>
      </c>
      <c r="B9" s="5" t="s">
        <v>61</v>
      </c>
      <c r="C9" s="5" t="str">
        <f>C8</f>
        <v>后喷漆颜色</v>
      </c>
      <c r="D9" s="5" t="s">
        <v>57</v>
      </c>
      <c r="E9" s="10" t="s">
        <v>57</v>
      </c>
      <c r="F9" s="10">
        <v>2800</v>
      </c>
      <c r="G9" s="5">
        <v>360</v>
      </c>
      <c r="H9" s="10">
        <v>3</v>
      </c>
      <c r="I9" s="13">
        <f>G9*F9*0.000001</f>
        <v>1.008</v>
      </c>
      <c r="J9" s="10">
        <f>J8</f>
        <v>1280</v>
      </c>
      <c r="K9" s="14">
        <f t="shared" si="0"/>
        <v>3870.72</v>
      </c>
      <c r="L9" s="12"/>
    </row>
    <row r="10" s="1" customFormat="1" ht="18.95" customHeight="1" spans="1:12">
      <c r="A10" s="10">
        <v>6</v>
      </c>
      <c r="B10" s="5" t="s">
        <v>61</v>
      </c>
      <c r="C10" s="5" t="str">
        <f>C9</f>
        <v>后喷漆颜色</v>
      </c>
      <c r="D10" s="5" t="s">
        <v>57</v>
      </c>
      <c r="E10" s="10" t="s">
        <v>57</v>
      </c>
      <c r="F10" s="10">
        <v>540</v>
      </c>
      <c r="G10" s="5">
        <v>360</v>
      </c>
      <c r="H10" s="10">
        <v>4</v>
      </c>
      <c r="I10" s="13">
        <f>G10*F10*0.000001</f>
        <v>0.1944</v>
      </c>
      <c r="J10" s="10">
        <f>J9</f>
        <v>1280</v>
      </c>
      <c r="K10" s="14">
        <f t="shared" si="0"/>
        <v>995.328</v>
      </c>
      <c r="L10" s="12"/>
    </row>
    <row r="11" s="1" customFormat="1" ht="18.95" customHeight="1" spans="1:12">
      <c r="A11" s="10">
        <v>7</v>
      </c>
      <c r="B11" s="5" t="s">
        <v>61</v>
      </c>
      <c r="C11" s="5" t="str">
        <f>C10</f>
        <v>后喷漆颜色</v>
      </c>
      <c r="D11" s="5" t="s">
        <v>57</v>
      </c>
      <c r="E11" s="10" t="s">
        <v>57</v>
      </c>
      <c r="F11" s="10">
        <v>1940</v>
      </c>
      <c r="G11" s="5">
        <v>360</v>
      </c>
      <c r="H11" s="10">
        <v>3</v>
      </c>
      <c r="I11" s="13">
        <f>G11*F11*0.000001</f>
        <v>0.6984</v>
      </c>
      <c r="J11" s="10">
        <f>J10</f>
        <v>1280</v>
      </c>
      <c r="K11" s="14">
        <f t="shared" si="0"/>
        <v>2681.856</v>
      </c>
      <c r="L11" s="12"/>
    </row>
    <row r="12" s="1" customFormat="1" ht="18.95" customHeight="1" spans="1:12">
      <c r="A12" s="10">
        <v>8</v>
      </c>
      <c r="B12" s="5" t="s">
        <v>62</v>
      </c>
      <c r="C12" s="5" t="str">
        <f>C11</f>
        <v>后喷漆颜色</v>
      </c>
      <c r="D12" s="5" t="s">
        <v>57</v>
      </c>
      <c r="E12" s="10" t="s">
        <v>57</v>
      </c>
      <c r="F12" s="10">
        <v>2480</v>
      </c>
      <c r="G12" s="5" t="s">
        <v>57</v>
      </c>
      <c r="H12" s="10">
        <v>1</v>
      </c>
      <c r="I12" s="13">
        <f>F12/1000</f>
        <v>2.48</v>
      </c>
      <c r="J12" s="10">
        <v>50</v>
      </c>
      <c r="K12" s="14">
        <f t="shared" si="0"/>
        <v>124</v>
      </c>
      <c r="L12" s="12"/>
    </row>
    <row r="13" s="1" customFormat="1" ht="18.95" customHeight="1" spans="1:12">
      <c r="A13" s="10">
        <v>9</v>
      </c>
      <c r="B13" s="5" t="s">
        <v>63</v>
      </c>
      <c r="C13" s="5"/>
      <c r="D13" s="5" t="s">
        <v>57</v>
      </c>
      <c r="E13" s="10" t="s">
        <v>57</v>
      </c>
      <c r="F13" s="10" t="s">
        <v>57</v>
      </c>
      <c r="G13" s="5" t="s">
        <v>57</v>
      </c>
      <c r="H13" s="10">
        <v>2</v>
      </c>
      <c r="I13" s="13"/>
      <c r="J13" s="10">
        <v>100</v>
      </c>
      <c r="K13" s="14">
        <f>J13*H13</f>
        <v>200</v>
      </c>
      <c r="L13" s="12"/>
    </row>
    <row r="14" s="1" customFormat="1" ht="17.1" customHeight="1" spans="1:12">
      <c r="A14" s="10">
        <v>10</v>
      </c>
      <c r="B14" s="15" t="s">
        <v>64</v>
      </c>
      <c r="C14" s="16"/>
      <c r="D14" s="16"/>
      <c r="E14" s="16"/>
      <c r="F14" s="16"/>
      <c r="G14" s="16"/>
      <c r="H14" s="16"/>
      <c r="I14" s="16"/>
      <c r="J14" s="16"/>
      <c r="K14" s="17">
        <f>SUM(K7:K13)</f>
        <v>17161.632</v>
      </c>
      <c r="L14" s="18"/>
    </row>
    <row r="15" s="1" customFormat="1" ht="17.45" customHeight="1" spans="1:12">
      <c r="A15" s="10">
        <v>11</v>
      </c>
      <c r="B15" s="19" t="s">
        <v>65</v>
      </c>
      <c r="C15" s="6"/>
      <c r="D15" s="6"/>
      <c r="E15" s="6"/>
      <c r="F15" s="6"/>
      <c r="G15" s="6"/>
      <c r="H15" s="6"/>
      <c r="I15" s="6"/>
      <c r="J15" s="6"/>
      <c r="K15" s="14"/>
      <c r="L15" s="3"/>
    </row>
    <row r="16" s="1" customFormat="1" ht="96" customHeight="1" spans="1:12">
      <c r="A16" s="20" t="s">
        <v>66</v>
      </c>
      <c r="B16" s="3"/>
      <c r="C16" s="3"/>
      <c r="D16" s="3"/>
      <c r="E16" s="3"/>
      <c r="F16" s="3"/>
      <c r="G16" s="3"/>
      <c r="H16" s="3"/>
      <c r="I16" s="3"/>
      <c r="J16" s="3"/>
      <c r="K16" s="21" t="str">
        <f>_xlfn.DISPIMG("ID_9818B1597C63427F9E6BFDC5103BCB95",1)</f>
        <v>=DISPIMG("ID_9818B1597C63427F9E6BFDC5103BCB95",1)</v>
      </c>
      <c r="L16" s="22"/>
    </row>
  </sheetData>
  <mergeCells count="22">
    <mergeCell ref="B1:L1"/>
    <mergeCell ref="B2:C2"/>
    <mergeCell ref="D2:F2"/>
    <mergeCell ref="G2:H2"/>
    <mergeCell ref="I2:K2"/>
    <mergeCell ref="B3:C3"/>
    <mergeCell ref="D3:F3"/>
    <mergeCell ref="G3:H3"/>
    <mergeCell ref="I3:K3"/>
    <mergeCell ref="E6:G6"/>
    <mergeCell ref="B14:J14"/>
    <mergeCell ref="B15:J15"/>
    <mergeCell ref="A16:J16"/>
    <mergeCell ref="K16:L16"/>
    <mergeCell ref="B5:B6"/>
    <mergeCell ref="C5:C6"/>
    <mergeCell ref="D5:D6"/>
    <mergeCell ref="H5:H6"/>
    <mergeCell ref="I5:I6"/>
    <mergeCell ref="J5:J6"/>
    <mergeCell ref="K5:K6"/>
    <mergeCell ref="L5:L8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钢鹏达金属制品</vt:lpstr>
      <vt:lpstr>鑫茂不锈钢定制</vt:lpstr>
      <vt:lpstr>堡亨达智能极简家居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周献良</cp:lastModifiedBy>
  <cp:revision>3</cp:revision>
  <dcterms:created xsi:type="dcterms:W3CDTF">2019-07-23T01:40:00Z</dcterms:created>
  <dcterms:modified xsi:type="dcterms:W3CDTF">2026-06-28T15:20:07Z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424211FC2FB84732B712C85F29C51CE7_13</vt:lpwstr>
  </property>
  <property fmtid="{D5CDD505-2E9C-101B-9397-08002B2CF9AE}" pid="4" name="CalculationRule">
    <vt:i4>0</vt:i4>
  </property>
</Properties>
</file>