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835" windowHeight="11655" activeTab="1"/>
  </bookViews>
  <sheets>
    <sheet name="填写说明" sheetId="1" r:id="rId1"/>
    <sheet name="设计师" sheetId="2" r:id="rId2"/>
    <sheet name="商品图片" sheetId="3" r:id="rId3"/>
    <sheet name="案例封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A0E9C9D3CFF47428DBAA3177C6F3222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3114675" y="180975"/>
          <a:ext cx="1104900" cy="1009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3C71F5DCDA0543389D016E01273F52B7" descr="设计行业资深设计师办公肖像高清图片下载-正版图片501903844-摄图网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390775" y="1270000"/>
          <a:ext cx="1809750" cy="21145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70F5C84E066D471FA73707A27711ED1F" descr="职业形象照更新丨自信启程，一起乘风破浪 : 你的实力，由我为你助力！-花瓣网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86610" y="2559050"/>
          <a:ext cx="1199515" cy="128143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479F54CB889E4BAD9E253AEB6ADACDFD" descr="商务男士高级感职业照|广州形象照-花瓣网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20900" y="4182745"/>
          <a:ext cx="3300730" cy="462153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54A0374D7E334DBEB981B39D80836C88" descr="art高清图片-在办公室工作的年轻设计师-人像图片免费下载_jpg格式_5559像素_编号64746256-千图网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31695" y="5649595"/>
          <a:ext cx="896620" cy="110680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BB5BA37AD503460C9AF150B7472EC82B" descr="「求职季」令人心动的职场形象照|形象照|求职|职场_新浪新闻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06295" y="6800215"/>
          <a:ext cx="877570" cy="117729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F000C0E578BE4C649E624AF44BA557BA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35505" y="7977505"/>
          <a:ext cx="4079240" cy="590804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<sst xmlns="http://schemas.openxmlformats.org/spreadsheetml/2006/main" count="163" uniqueCount="132">
  <si>
    <t>项目</t>
  </si>
  <si>
    <t>说明</t>
  </si>
  <si>
    <t>文件位置</t>
  </si>
  <si>
    <t>把填好的表保存为 content/dd-content.xlsx，图片放在 content/images/</t>
  </si>
  <si>
    <t>表结构</t>
  </si>
  <si>
    <t>三张表：设计师、商品图片、案例封面。只需改有变化的行。</t>
  </si>
  <si>
    <t>图片列</t>
  </si>
  <si>
    <t>可填完整网址 https://...，或本地文件名如 zhangjun.jpg（需放在 images 文件夹）</t>
  </si>
  <si>
    <t>导入方式</t>
  </si>
  <si>
    <t>后台页面上传，或运行 node scripts/import-content-excel.js</t>
  </si>
  <si>
    <t>同步小程序</t>
  </si>
  <si>
    <t>导入后会自动写入 miniprogram/data/*.js，微信开发者工具重新编译即可</t>
  </si>
  <si>
    <t>ID</t>
  </si>
  <si>
    <t>姓名</t>
  </si>
  <si>
    <t>标签</t>
  </si>
  <si>
    <t>图片</t>
  </si>
  <si>
    <t>d-zhangjun</t>
  </si>
  <si>
    <t>张俊</t>
  </si>
  <si>
    <t>现代简约 · 8年</t>
  </si>
  <si>
    <t>d-guxin</t>
  </si>
  <si>
    <t>顾欣</t>
  </si>
  <si>
    <t>北欧自然 · 6年</t>
  </si>
  <si>
    <t>d-shengfei</t>
  </si>
  <si>
    <t>盛菲</t>
  </si>
  <si>
    <t>新中式 · 10年</t>
  </si>
  <si>
    <t>d-alex</t>
  </si>
  <si>
    <t>ALEX</t>
  </si>
  <si>
    <t>极简主义 · 7年</t>
  </si>
  <si>
    <t>d-hill</t>
  </si>
  <si>
    <t>HILL</t>
  </si>
  <si>
    <t>复古轻奢 · 5年</t>
  </si>
  <si>
    <t>d-zhouhong</t>
  </si>
  <si>
    <t>周宏</t>
  </si>
  <si>
    <t>侘寂风 · 4年</t>
  </si>
  <si>
    <t>d-zhouchuxuan</t>
  </si>
  <si>
    <t>周楚轩</t>
  </si>
  <si>
    <t>法式 · 6年</t>
  </si>
  <si>
    <t>名称(参考)</t>
  </si>
  <si>
    <t>f-001</t>
  </si>
  <si>
    <t>法式实木餐桌</t>
  </si>
  <si>
    <t>photo-1617806118233-18e1de247200?w=320&amp;h=180&amp;fit=crop&amp;auto=format&amp;q=80</t>
  </si>
  <si>
    <t>f-002</t>
  </si>
  <si>
    <t>美式办公桌</t>
  </si>
  <si>
    <t>photo-1518455027359-f3f8164ba6bd?w=320&amp;h=180&amp;fit=crop&amp;auto=format&amp;q=80</t>
  </si>
  <si>
    <t>f-003</t>
  </si>
  <si>
    <t>现代不锈钢餐椅</t>
  </si>
  <si>
    <t>photo-1555041469-a586c61ea9bc?w=320&amp;h=180&amp;fit=crop&amp;auto=format&amp;q=80</t>
  </si>
  <si>
    <t>f-004</t>
  </si>
  <si>
    <t>户外藤编沙发</t>
  </si>
  <si>
    <t>f-005</t>
  </si>
  <si>
    <t>中古实木床头柜</t>
  </si>
  <si>
    <t>photo-1631049307264-da0ec9d70304?w=320&amp;h=180&amp;fit=crop&amp;auto=format&amp;q=80</t>
  </si>
  <si>
    <t>f-006</t>
  </si>
  <si>
    <t>现代极简办公椅</t>
  </si>
  <si>
    <t>f-007</t>
  </si>
  <si>
    <t>法式雕花梳妆台</t>
  </si>
  <si>
    <t>photo-1616486338812-3dadae4b4ace?w=320&amp;h=180&amp;fit=crop&amp;auto=format&amp;q=80</t>
  </si>
  <si>
    <t>f-008</t>
  </si>
  <si>
    <t>户外铝合金折叠桌</t>
  </si>
  <si>
    <t>photo-1600210492486-724fe5c67fb0?w=320&amp;h=180&amp;fit=crop&amp;auto=format&amp;q=80</t>
  </si>
  <si>
    <t>f-009</t>
  </si>
  <si>
    <t>美式实木大床</t>
  </si>
  <si>
    <t>f-010</t>
  </si>
  <si>
    <t>不锈钢现代书架</t>
  </si>
  <si>
    <t>photo-1600585154340-be6161a56a0c?w=320&amp;h=180&amp;fit=crop&amp;auto=format&amp;q=80</t>
  </si>
  <si>
    <t>f-011</t>
  </si>
  <si>
    <t>中古风餐边柜</t>
  </si>
  <si>
    <t>photo-1618221195710-dd6b41faaea6?w=320&amp;h=180&amp;fit=crop&amp;auto=format&amp;q=80</t>
  </si>
  <si>
    <t>f-012</t>
  </si>
  <si>
    <t>户外简约休闲椅</t>
  </si>
  <si>
    <t>f-013</t>
  </si>
  <si>
    <t>云朵沙发</t>
  </si>
  <si>
    <t>f-014</t>
  </si>
  <si>
    <t>岩板茶几</t>
  </si>
  <si>
    <t>k-cab-001</t>
  </si>
  <si>
    <t>洗手盘地柜</t>
  </si>
  <si>
    <t>photo-1556911220-e15b29be8c8f?w=320&amp;h=180&amp;fit=crop&amp;auto=format&amp;q=80</t>
  </si>
  <si>
    <t>k-cab-002</t>
  </si>
  <si>
    <t>地柜</t>
  </si>
  <si>
    <t>k-cab-003</t>
  </si>
  <si>
    <t>灶台吊柜</t>
  </si>
  <si>
    <t>k-cab-004</t>
  </si>
  <si>
    <t>吊柜</t>
  </si>
  <si>
    <t>k-cab-005</t>
  </si>
  <si>
    <t>高柜</t>
  </si>
  <si>
    <t>k-cab-006</t>
  </si>
  <si>
    <t>上翻门吊柜</t>
  </si>
  <si>
    <t>k-ct-001</t>
  </si>
  <si>
    <t>台面</t>
  </si>
  <si>
    <t>k-ct-002</t>
  </si>
  <si>
    <t>晶灵台面</t>
  </si>
  <si>
    <t>k-pn-001</t>
  </si>
  <si>
    <t>侧见光板</t>
  </si>
  <si>
    <t>k-pn-002</t>
  </si>
  <si>
    <t>高柜见光板</t>
  </si>
  <si>
    <t>k-tr-001</t>
  </si>
  <si>
    <t>地脚线</t>
  </si>
  <si>
    <t>k-tr-002</t>
  </si>
  <si>
    <t>顶封板</t>
  </si>
  <si>
    <t>k-hw-001</t>
  </si>
  <si>
    <t>百隆107°集成阻尼全盖铰链</t>
  </si>
  <si>
    <t>k-hw-002</t>
  </si>
  <si>
    <t>百隆全拉托底轨</t>
  </si>
  <si>
    <t>k-hw-003</t>
  </si>
  <si>
    <t>希勒3.0三边碗碟篮800</t>
  </si>
  <si>
    <t>k-hw-004</t>
  </si>
  <si>
    <t>L型免拉手</t>
  </si>
  <si>
    <t>k-sk-001</t>
  </si>
  <si>
    <t>手工单槽</t>
  </si>
  <si>
    <t>k-sk-002</t>
  </si>
  <si>
    <t>抽拉龙头</t>
  </si>
  <si>
    <t>k-el-001</t>
  </si>
  <si>
    <t>嵌入式蒸烤一体机</t>
  </si>
  <si>
    <t>k-el-002</t>
  </si>
  <si>
    <t>嵌入式洗碗机</t>
  </si>
  <si>
    <t>k-ex-001</t>
  </si>
  <si>
    <t>灶炉开槽费</t>
  </si>
  <si>
    <t>k-ex-002</t>
  </si>
  <si>
    <t>水槽开槽费</t>
  </si>
  <si>
    <t>标题(参考)</t>
  </si>
  <si>
    <t>case-shade-umbrella</t>
  </si>
  <si>
    <t>户外遮阳伞 · 供应商比价</t>
  </si>
  <si>
    <t>photo-1600585154340-be6161a56a0c?w=640&amp;h=360&amp;fit=crop&amp;auto=format&amp;q=80</t>
  </si>
  <si>
    <t>case-outdoor-kitchen</t>
  </si>
  <si>
    <t>户外厨房 · 岛台深化</t>
  </si>
  <si>
    <t>photo-1600607687939-ce8a6c25118c?w=640&amp;h=360&amp;fit=crop&amp;auto=format&amp;q=80</t>
  </si>
  <si>
    <t>case-living-scheme</t>
  </si>
  <si>
    <t>全案客厅 · 选品到清单</t>
  </si>
  <si>
    <t>photo-1555041469-a586c61ea9bc?w=640&amp;h=360&amp;fit=crop&amp;auto=format&amp;q=80</t>
  </si>
  <si>
    <t>case-entry-cabinet</t>
  </si>
  <si>
    <t>玄关定制 · 跨境协作</t>
  </si>
  <si>
    <t>photo-1617806118233-18e1de247200?w=640&amp;h=360&amp;fit=crop&amp;auto=format&amp;q=80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</si>
</sst>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1" width="24.625" customWidth="1"/>
    <col min="2" max="2" width="8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5" right="0.75" top="1" bottom="1" header="0.5" footer="0.5"/>
  <headerFooter/>
  <ignoredErrors>
    <ignoredError sqref="A1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topLeftCell="A5" workbookViewId="0">
      <selection activeCell="D8" sqref="D8"/>
    </sheetView>
  </sheetViews>
  <sheetFormatPr defaultColWidth="9" defaultRowHeight="14.25" outlineLevelRow="7" outlineLevelCol="3"/>
  <cols>
    <col min="4" max="4" width="16" customWidth="1"/>
  </cols>
  <sheetData>
    <row r="1" spans="1:4">
      <c r="A1" t="s">
        <v>12</v>
      </c>
      <c r="B1" t="s">
        <v>13</v>
      </c>
      <c r="C1" t="s">
        <v>14</v>
      </c>
      <c r="D1" t="s">
        <v>15</v>
      </c>
    </row>
    <row r="2" ht="83" customHeight="1" spans="1:4">
      <c r="A2" t="s">
        <v>16</v>
      </c>
      <c r="B2" t="s">
        <v>17</v>
      </c>
      <c r="C2" t="s">
        <v>18</v>
      </c>
      <c r="D2" t="str">
        <f>_xlfn.DISPIMG("ID_CA0E9C9D3CFF47428DBAA3177C6F3222",1)</f>
        <v>=DISPIMG("ID_CA0E9C9D3CFF47428DBAA3177C6F3222",1)</v>
      </c>
    </row>
    <row r="3" ht="99" customHeight="1" spans="1:4">
      <c r="A3" t="s">
        <v>19</v>
      </c>
      <c r="B3" t="s">
        <v>20</v>
      </c>
      <c r="C3" t="s">
        <v>21</v>
      </c>
      <c r="D3" t="str">
        <f>_xlfn.DISPIMG("ID_3C71F5DCDA0543389D016E01273F52B7",1)</f>
        <v>=DISPIMG("ID_3C71F5DCDA0543389D016E01273F52B7",1)</v>
      </c>
    </row>
    <row r="4" ht="127.05" customHeight="1" spans="1:4">
      <c r="A4" t="s">
        <v>22</v>
      </c>
      <c r="B4" t="s">
        <v>23</v>
      </c>
      <c r="C4" t="s">
        <v>24</v>
      </c>
      <c r="D4" t="str">
        <f>_xlfn.DISPIMG("ID_70F5C84E066D471FA73707A27711ED1F",1)</f>
        <v>=DISPIMG("ID_70F5C84E066D471FA73707A27711ED1F",1)</v>
      </c>
    </row>
    <row r="5" ht="120" customHeight="1" spans="1:4">
      <c r="A5" t="s">
        <v>25</v>
      </c>
      <c r="B5" t="s">
        <v>26</v>
      </c>
      <c r="C5" t="s">
        <v>27</v>
      </c>
      <c r="D5" t="str">
        <f>_xlfn.DISPIMG("ID_479F54CB889E4BAD9E253AEB6ADACDFD",1)</f>
        <v>=DISPIMG("ID_479F54CB889E4BAD9E253AEB6ADACDFD",1)</v>
      </c>
    </row>
    <row r="6" ht="90" customHeight="1" spans="1:4">
      <c r="A6" t="s">
        <v>28</v>
      </c>
      <c r="B6" t="s">
        <v>29</v>
      </c>
      <c r="C6" t="s">
        <v>30</v>
      </c>
      <c r="D6" t="str">
        <f>_xlfn.DISPIMG("ID_54A0374D7E334DBEB981B39D80836C88",1)</f>
        <v>=DISPIMG("ID_54A0374D7E334DBEB981B39D80836C88",1)</v>
      </c>
    </row>
    <row r="7" ht="90" customHeight="1" spans="1:4">
      <c r="A7" t="s">
        <v>31</v>
      </c>
      <c r="B7" t="s">
        <v>32</v>
      </c>
      <c r="C7" t="s">
        <v>33</v>
      </c>
      <c r="D7" t="str">
        <f>_xlfn.DISPIMG("ID_BB5BA37AD503460C9AF150B7472EC82B",1)</f>
        <v>=DISPIMG("ID_BB5BA37AD503460C9AF150B7472EC82B",1)</v>
      </c>
    </row>
    <row r="8" ht="90" customHeight="1" spans="1:4">
      <c r="A8" t="s">
        <v>34</v>
      </c>
      <c r="B8" t="s">
        <v>35</v>
      </c>
      <c r="C8" t="s">
        <v>36</v>
      </c>
      <c r="D8" t="str">
        <f>_xlfn.DISPIMG("ID_F000C0E578BE4C649E624AF44BA557BA",1)</f>
        <v>=DISPIMG("ID_F000C0E578BE4C649E624AF44BA557BA",1)</v>
      </c>
    </row>
  </sheetData>
  <pageMargins left="0.75" right="0.75" top="1" bottom="1" header="0.5" footer="0.5"/>
  <headerFooter/>
  <ignoredErrors>
    <ignoredError sqref="A1:D1 A2:C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A1" sqref="A1"/>
    </sheetView>
  </sheetViews>
  <sheetFormatPr defaultColWidth="9" defaultRowHeight="14.25" outlineLevelCol="2"/>
  <sheetData>
    <row r="1" spans="1:3">
      <c r="A1" t="s">
        <v>12</v>
      </c>
      <c r="B1" t="s">
        <v>37</v>
      </c>
      <c r="C1" t="s">
        <v>15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41</v>
      </c>
      <c r="B3" t="s">
        <v>42</v>
      </c>
      <c r="C3" t="s">
        <v>43</v>
      </c>
    </row>
    <row r="4" spans="1:3">
      <c r="A4" t="s">
        <v>44</v>
      </c>
      <c r="B4" t="s">
        <v>45</v>
      </c>
      <c r="C4" t="s">
        <v>46</v>
      </c>
    </row>
    <row r="5" spans="1:3">
      <c r="A5" t="s">
        <v>47</v>
      </c>
      <c r="B5" t="s">
        <v>48</v>
      </c>
      <c r="C5" t="s">
        <v>46</v>
      </c>
    </row>
    <row r="6" spans="1:3">
      <c r="A6" t="s">
        <v>49</v>
      </c>
      <c r="B6" t="s">
        <v>50</v>
      </c>
      <c r="C6" t="s">
        <v>51</v>
      </c>
    </row>
    <row r="7" spans="1:3">
      <c r="A7" t="s">
        <v>52</v>
      </c>
      <c r="B7" t="s">
        <v>53</v>
      </c>
      <c r="C7" t="s">
        <v>43</v>
      </c>
    </row>
    <row r="8" spans="1:3">
      <c r="A8" t="s">
        <v>54</v>
      </c>
      <c r="B8" t="s">
        <v>55</v>
      </c>
      <c r="C8" t="s">
        <v>56</v>
      </c>
    </row>
    <row r="9" spans="1:3">
      <c r="A9" t="s">
        <v>57</v>
      </c>
      <c r="B9" t="s">
        <v>58</v>
      </c>
      <c r="C9" t="s">
        <v>59</v>
      </c>
    </row>
    <row r="10" spans="1:3">
      <c r="A10" t="s">
        <v>60</v>
      </c>
      <c r="B10" t="s">
        <v>61</v>
      </c>
      <c r="C10" t="s">
        <v>56</v>
      </c>
    </row>
    <row r="11" spans="1:3">
      <c r="A11" t="s">
        <v>62</v>
      </c>
      <c r="B11" t="s">
        <v>63</v>
      </c>
      <c r="C11" t="s">
        <v>64</v>
      </c>
    </row>
    <row r="12" spans="1:3">
      <c r="A12" t="s">
        <v>65</v>
      </c>
      <c r="B12" t="s">
        <v>66</v>
      </c>
      <c r="C12" t="s">
        <v>67</v>
      </c>
    </row>
    <row r="13" spans="1:3">
      <c r="A13" t="s">
        <v>68</v>
      </c>
      <c r="B13" t="s">
        <v>69</v>
      </c>
      <c r="C13" t="s">
        <v>46</v>
      </c>
    </row>
    <row r="14" spans="1:3">
      <c r="A14" t="s">
        <v>70</v>
      </c>
      <c r="B14" t="s">
        <v>71</v>
      </c>
      <c r="C14" t="s">
        <v>46</v>
      </c>
    </row>
    <row r="15" spans="1:3">
      <c r="A15" t="s">
        <v>72</v>
      </c>
      <c r="B15" t="s">
        <v>73</v>
      </c>
      <c r="C15" t="s">
        <v>40</v>
      </c>
    </row>
    <row r="16" spans="1:3">
      <c r="A16" t="s">
        <v>74</v>
      </c>
      <c r="B16" t="s">
        <v>75</v>
      </c>
      <c r="C16" t="s">
        <v>76</v>
      </c>
    </row>
    <row r="17" spans="1:3">
      <c r="A17" t="s">
        <v>77</v>
      </c>
      <c r="B17" t="s">
        <v>78</v>
      </c>
      <c r="C17" t="s">
        <v>64</v>
      </c>
    </row>
    <row r="18" spans="1:3">
      <c r="A18" t="s">
        <v>79</v>
      </c>
      <c r="B18" t="s">
        <v>80</v>
      </c>
      <c r="C18" t="s">
        <v>56</v>
      </c>
    </row>
    <row r="19" spans="1:3">
      <c r="A19" t="s">
        <v>81</v>
      </c>
      <c r="B19" t="s">
        <v>82</v>
      </c>
      <c r="C19" t="s">
        <v>56</v>
      </c>
    </row>
    <row r="20" spans="1:3">
      <c r="A20" t="s">
        <v>83</v>
      </c>
      <c r="B20" t="s">
        <v>84</v>
      </c>
      <c r="C20" t="s">
        <v>56</v>
      </c>
    </row>
    <row r="21" spans="1:3">
      <c r="A21" t="s">
        <v>85</v>
      </c>
      <c r="B21" t="s">
        <v>86</v>
      </c>
      <c r="C21" t="s">
        <v>56</v>
      </c>
    </row>
    <row r="22" spans="1:3">
      <c r="A22" t="s">
        <v>87</v>
      </c>
      <c r="B22" t="s">
        <v>88</v>
      </c>
      <c r="C22" t="s">
        <v>56</v>
      </c>
    </row>
    <row r="23" spans="1:3">
      <c r="A23" t="s">
        <v>89</v>
      </c>
      <c r="B23" t="s">
        <v>90</v>
      </c>
      <c r="C23" t="s">
        <v>56</v>
      </c>
    </row>
    <row r="24" spans="1:3">
      <c r="A24" t="s">
        <v>91</v>
      </c>
      <c r="B24" t="s">
        <v>92</v>
      </c>
      <c r="C24" t="s">
        <v>56</v>
      </c>
    </row>
    <row r="25" spans="1:3">
      <c r="A25" t="s">
        <v>93</v>
      </c>
      <c r="B25" t="s">
        <v>94</v>
      </c>
      <c r="C25" t="s">
        <v>56</v>
      </c>
    </row>
    <row r="26" spans="1:3">
      <c r="A26" t="s">
        <v>95</v>
      </c>
      <c r="B26" t="s">
        <v>96</v>
      </c>
      <c r="C26" t="s">
        <v>56</v>
      </c>
    </row>
    <row r="27" spans="1:3">
      <c r="A27" t="s">
        <v>97</v>
      </c>
      <c r="B27" t="s">
        <v>98</v>
      </c>
      <c r="C27" t="s">
        <v>56</v>
      </c>
    </row>
    <row r="28" spans="1:3">
      <c r="A28" t="s">
        <v>99</v>
      </c>
      <c r="B28" t="s">
        <v>100</v>
      </c>
      <c r="C28" t="s">
        <v>56</v>
      </c>
    </row>
    <row r="29" spans="1:3">
      <c r="A29" t="s">
        <v>101</v>
      </c>
      <c r="B29" t="s">
        <v>102</v>
      </c>
      <c r="C29" t="s">
        <v>56</v>
      </c>
    </row>
    <row r="30" spans="1:3">
      <c r="A30" t="s">
        <v>103</v>
      </c>
      <c r="B30" t="s">
        <v>104</v>
      </c>
      <c r="C30" t="s">
        <v>56</v>
      </c>
    </row>
    <row r="31" spans="1:3">
      <c r="A31" t="s">
        <v>105</v>
      </c>
      <c r="B31" t="s">
        <v>106</v>
      </c>
      <c r="C31" t="s">
        <v>56</v>
      </c>
    </row>
    <row r="32" spans="1:3">
      <c r="A32" t="s">
        <v>107</v>
      </c>
      <c r="B32" t="s">
        <v>108</v>
      </c>
      <c r="C32" t="s">
        <v>56</v>
      </c>
    </row>
    <row r="33" spans="1:3">
      <c r="A33" t="s">
        <v>109</v>
      </c>
      <c r="B33" t="s">
        <v>110</v>
      </c>
      <c r="C33" t="s">
        <v>56</v>
      </c>
    </row>
    <row r="34" spans="1:3">
      <c r="A34" t="s">
        <v>111</v>
      </c>
      <c r="B34" t="s">
        <v>112</v>
      </c>
      <c r="C34" t="s">
        <v>56</v>
      </c>
    </row>
    <row r="35" spans="1:3">
      <c r="A35" t="s">
        <v>113</v>
      </c>
      <c r="B35" t="s">
        <v>114</v>
      </c>
      <c r="C35" t="s">
        <v>56</v>
      </c>
    </row>
    <row r="36" spans="1:3">
      <c r="A36" t="s">
        <v>115</v>
      </c>
      <c r="B36" t="s">
        <v>116</v>
      </c>
      <c r="C36" t="s">
        <v>56</v>
      </c>
    </row>
    <row r="37" spans="1:3">
      <c r="A37" t="s">
        <v>117</v>
      </c>
      <c r="B37" t="s">
        <v>118</v>
      </c>
      <c r="C37" t="s">
        <v>56</v>
      </c>
    </row>
  </sheetData>
  <pageMargins left="0.75" right="0.75" top="1" bottom="1" header="0.5" footer="0.5"/>
  <headerFooter/>
  <ignoredErrors>
    <ignoredError sqref="A1:C3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25" outlineLevelRow="4" outlineLevelCol="2"/>
  <sheetData>
    <row r="1" spans="1:3">
      <c r="A1" t="s">
        <v>12</v>
      </c>
      <c r="B1" t="s">
        <v>119</v>
      </c>
      <c r="C1" t="s">
        <v>15</v>
      </c>
    </row>
    <row r="2" spans="1:3">
      <c r="A2" t="s">
        <v>120</v>
      </c>
      <c r="B2" t="s">
        <v>121</v>
      </c>
      <c r="C2" t="s">
        <v>122</v>
      </c>
    </row>
    <row r="3" spans="1:3">
      <c r="A3" t="s">
        <v>123</v>
      </c>
      <c r="B3" t="s">
        <v>124</v>
      </c>
      <c r="C3" t="s">
        <v>125</v>
      </c>
    </row>
    <row r="4" spans="1:3">
      <c r="A4" t="s">
        <v>126</v>
      </c>
      <c r="B4" t="s">
        <v>127</v>
      </c>
      <c r="C4" t="s">
        <v>128</v>
      </c>
    </row>
    <row r="5" spans="1:3">
      <c r="A5" t="s">
        <v>129</v>
      </c>
      <c r="B5" t="s">
        <v>130</v>
      </c>
      <c r="C5" t="s">
        <v>131</v>
      </c>
    </row>
  </sheetData>
  <pageMargins left="0.75" right="0.75" top="1" bottom="1" header="0.5" footer="0.5"/>
  <headerFooter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设计师</vt:lpstr>
      <vt:lpstr>商品图片</vt:lpstr>
      <vt:lpstr>案例封面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周献良</cp:lastModifiedBy>
  <dcterms:created xsi:type="dcterms:W3CDTF">2026-06-29T03:33:53Z</dcterms:created>
  <dcterms:modified xsi:type="dcterms:W3CDTF">2026-06-29T03:44:26Z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5804391986A94D1785950E4BB22B3E4D_12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